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I:\My Drive\001_Academic\002_Course_Works\003_2026_Sping_Semester\003_Low-Carbon Technologies and Policies\000_ICP_BL\006_Cambodia_TIMES_Model_V002\KHM_TIMES_V002_20260605\SuppXLS\"/>
    </mc:Choice>
  </mc:AlternateContent>
  <xr:revisionPtr revIDLastSave="0" documentId="13_ncr:1_{EFC2380E-B3D0-4BEF-8FAD-8311AB2DB45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UC_CO2" sheetId="1" r:id="rId1"/>
  </sheets>
  <calcPr calcId="191029"/>
</workbook>
</file>

<file path=xl/calcChain.xml><?xml version="1.0" encoding="utf-8"?>
<calcChain xmlns="http://schemas.openxmlformats.org/spreadsheetml/2006/main">
  <c r="E32" i="1" l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E35" i="1"/>
  <c r="D35" i="1"/>
</calcChain>
</file>

<file path=xl/sharedStrings.xml><?xml version="1.0" encoding="utf-8"?>
<sst xmlns="http://schemas.openxmlformats.org/spreadsheetml/2006/main" count="49" uniqueCount="35">
  <si>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</si>
  <si>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</si>
  <si>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</si>
  <si>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</si>
  <si>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</si>
  <si>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</si>
  <si>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</si>
  <si>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</si>
  <si>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</si>
  <si>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</si>
  <si>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~UC_Sets: T_E:</t>
  </si>
  <si>
    <t>UC_Desc</t>
  </si>
  <si>
    <t>UC - Each Region/Period</t>
  </si>
  <si>
    <t>REG1</t>
  </si>
  <si>
    <t>Table Name: Emissions</t>
  </si>
  <si>
    <t>Active Unit: Kt</t>
  </si>
  <si>
    <t>Region</t>
  </si>
  <si>
    <t>AU_CO2_BND</t>
  </si>
  <si>
    <t>UP</t>
  </si>
  <si>
    <t>CO2 Bound Constraint</t>
  </si>
  <si>
    <t>UC_COMNET</t>
  </si>
  <si>
    <t>UC_RHSRTS~0</t>
  </si>
  <si>
    <t>~UC_T:UC_RHSRTS</t>
  </si>
  <si>
    <t>Scenario</t>
  </si>
  <si>
    <t>CommodityDesc\Period</t>
  </si>
  <si>
    <t>Electricity Plants Carbon dioxide</t>
  </si>
  <si>
    <t>Transport Carbon dioxide</t>
  </si>
  <si>
    <t>Residential Carbon dioxide</t>
  </si>
  <si>
    <t>Reduction Coeff</t>
  </si>
  <si>
    <t>Total</t>
  </si>
  <si>
    <t>Agriculture Carbon dioxide</t>
  </si>
  <si>
    <t>Commercial Carbon dioxide</t>
  </si>
  <si>
    <t>Industry Carbon dioxide</t>
  </si>
  <si>
    <t>*CO2</t>
  </si>
  <si>
    <t>DemoS_010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</si>
</sst>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.25"/>
      <color rgb="FF000000"/>
      <name val="Microsoft Sans Serif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AF1FB"/>
        <bgColor rgb="FFEAF1FB"/>
      </patternFill>
    </fill>
  </fills>
  <borders count="2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3">
    <xf numFmtId="0" fontId="0" fillId="0" borderId="0"/>
    <xf numFmtId="0" fontId="5" fillId="0" borderId="0"/>
    <xf numFmtId="0" fontId="2" fillId="0" borderId="0"/>
  </cellStyleXfs>
  <cellXfs count="13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1" fontId="0" fillId="0" borderId="0" xfId="0" applyNumberFormat="1"/>
    <xf numFmtId="0" fontId="5" fillId="6" borderId="0" xfId="0" applyFont="1" applyFill="1"/>
    <xf numFmtId="0" fontId="5" fillId="3" borderId="0" xfId="0" applyFont="1" applyFill="1"/>
    <xf numFmtId="9" fontId="0" fillId="0" borderId="0" xfId="0" applyNumberFormat="1" applyAlignment="1">
      <alignment horizontal="center"/>
    </xf>
    <xf numFmtId="0" fontId="6" fillId="7" borderId="1" xfId="0" applyFont="1" applyFill="1" applyBorder="1" applyAlignment="1">
      <alignment horizontal="right" vertical="center"/>
    </xf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578427</xdr:colOff>
      <xdr:row>15</xdr:row>
      <xdr:rowOff>19916</xdr:rowOff>
    </xdr:from>
    <xdr:to>
      <xdr:col>9</xdr:col>
      <xdr:colOff>1085851</xdr:colOff>
      <xdr:row>19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883B7BA-FDB7-47B9-AD90-521B80A59637}"/>
            </a:ext>
          </a:extLst>
        </xdr:cNvPr>
        <xdr:cNvSpPr txBox="1"/>
      </xdr:nvSpPr>
      <xdr:spPr>
        <a:xfrm>
          <a:off x="578427" y="1734416"/>
          <a:ext cx="8746549" cy="75160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Get and copy the ELCCO2 and TRACO2 emissions (kt) from the base scenario results (run name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DemoS_007)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maximum amount of emissions in a secific year for the sum of TRACO2 and ELCCO2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the reduction target(s) (%) to reach at specific year(s) in each region using the COM_BDNNET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"/>
  <sheetViews>
    <sheetView tabSelected="1" topLeftCell="C1" zoomScale="70" zoomScaleNormal="70" workbookViewId="0">
      <selection activeCell="N16" sqref="N16"/>
    </sheetView>
  </sheetViews>
  <sheetFormatPr defaultRowHeight="14.4" x14ac:dyDescent="0.3"/>
  <cols>
    <col min="2" max="2" width="14.109375" customWidth="1"/>
    <col min="3" max="3" width="10.33203125" customWidth="1"/>
    <col min="4" max="4" width="30.109375" customWidth="1"/>
    <col min="5" max="6" width="11.109375" customWidth="1"/>
    <col min="7" max="7" width="15.33203125" bestFit="1" customWidth="1"/>
    <col min="8" max="9" width="11.109375" customWidth="1"/>
    <col min="10" max="10" width="17.33203125" bestFit="1" customWidth="1"/>
    <col min="11" max="11" width="12.44140625" bestFit="1" customWidth="1"/>
    <col min="12" max="12" width="9.88671875" customWidth="1"/>
    <col min="13" max="13" width="15" bestFit="1" customWidth="1"/>
    <col min="14" max="14" width="20.5546875" bestFit="1" customWidth="1"/>
    <col min="15" max="15" width="8.109375" bestFit="1" customWidth="1"/>
    <col min="16" max="17" width="7.109375" bestFit="1" customWidth="1"/>
    <col min="18" max="18" width="14.109375" bestFit="1" customWidth="1"/>
  </cols>
  <sheetData>
    <row r="1" spans="1:18" x14ac:dyDescent="0.3">
      <c r="A1" t="s">
        <v>12</v>
      </c>
    </row>
    <row r="2" spans="1:18" x14ac:dyDescent="0.3">
      <c r="B2" s="1" t="s">
        <v>0</v>
      </c>
    </row>
    <row r="3" spans="1:18" x14ac:dyDescent="0.3">
      <c r="B3" s="6" t="s">
        <v>10</v>
      </c>
    </row>
    <row r="4" spans="1:18" x14ac:dyDescent="0.3">
      <c r="J4" t="s">
        <v>22</v>
      </c>
    </row>
    <row r="5" spans="1:18" x14ac:dyDescent="0.3">
      <c r="B5" s="4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3" t="s">
        <v>6</v>
      </c>
      <c r="H5" s="3" t="s">
        <v>8</v>
      </c>
      <c r="I5" s="3" t="s">
        <v>3</v>
      </c>
      <c r="J5" s="3" t="s">
        <v>9</v>
      </c>
      <c r="K5" s="5" t="s">
        <v>20</v>
      </c>
      <c r="L5" s="9" t="s">
        <v>13</v>
      </c>
      <c r="M5" s="7" t="s">
        <v>21</v>
      </c>
      <c r="N5" s="4" t="s">
        <v>11</v>
      </c>
      <c r="R5" s="10" t="s">
        <v>28</v>
      </c>
    </row>
    <row r="6" spans="1:18" x14ac:dyDescent="0.3">
      <c r="B6" t="s">
        <v>17</v>
      </c>
      <c r="G6" t="s">
        <v>33</v>
      </c>
      <c r="I6">
        <v>2030</v>
      </c>
      <c r="J6" t="s">
        <v>18</v>
      </c>
      <c r="K6">
        <v>1</v>
      </c>
      <c r="L6">
        <v>38698.038611603704</v>
      </c>
      <c r="M6">
        <v>5</v>
      </c>
      <c r="N6" t="s">
        <v>19</v>
      </c>
      <c r="R6" s="11">
        <v>0.05</v>
      </c>
    </row>
    <row r="7" spans="1:18" x14ac:dyDescent="0.3">
      <c r="G7" t="s">
        <v>33</v>
      </c>
      <c r="I7">
        <v>2035</v>
      </c>
      <c r="J7" t="s">
        <v>18</v>
      </c>
      <c r="K7">
        <v>1</v>
      </c>
      <c r="L7">
        <v>44113.763969000276</v>
      </c>
      <c r="R7" s="11">
        <v>0.05</v>
      </c>
    </row>
    <row r="8" spans="1:18" x14ac:dyDescent="0.3">
      <c r="L8" s="8"/>
      <c r="R8" s="11">
        <v>0.05</v>
      </c>
    </row>
    <row r="9" spans="1:18" x14ac:dyDescent="0.3">
      <c r="L9" s="8"/>
      <c r="R9" s="11">
        <v>0.05</v>
      </c>
    </row>
    <row r="10" spans="1:18" x14ac:dyDescent="0.3">
      <c r="L10" s="8"/>
      <c r="R10" s="11">
        <v>0.05</v>
      </c>
    </row>
    <row r="11" spans="1:18" x14ac:dyDescent="0.3">
      <c r="L11" s="8"/>
      <c r="R11" s="11">
        <v>0.05</v>
      </c>
    </row>
    <row r="12" spans="1:18" x14ac:dyDescent="0.3">
      <c r="L12" s="8"/>
      <c r="R12" s="11">
        <v>0.05</v>
      </c>
    </row>
    <row r="13" spans="1:18" x14ac:dyDescent="0.3">
      <c r="L13" s="8"/>
      <c r="R13" s="11"/>
    </row>
    <row r="14" spans="1:18" x14ac:dyDescent="0.3">
      <c r="R14" s="11"/>
    </row>
    <row r="22" spans="2:13" x14ac:dyDescent="0.3">
      <c r="B22" t="s">
        <v>14</v>
      </c>
    </row>
    <row r="23" spans="2:13" x14ac:dyDescent="0.3">
      <c r="B23" t="s">
        <v>15</v>
      </c>
    </row>
    <row r="24" spans="2:13" x14ac:dyDescent="0.3">
      <c r="B24" t="s">
        <v>23</v>
      </c>
      <c r="C24" t="s">
        <v>16</v>
      </c>
      <c r="D24" t="s">
        <v>24</v>
      </c>
      <c r="E24" s="12">
        <v>2021</v>
      </c>
      <c r="F24" s="12">
        <v>2022</v>
      </c>
      <c r="G24" s="12">
        <v>2025</v>
      </c>
      <c r="H24" s="12">
        <v>2030</v>
      </c>
      <c r="I24" s="12">
        <v>2035</v>
      </c>
      <c r="J24" s="12">
        <v>2040</v>
      </c>
      <c r="K24" s="12">
        <v>2045</v>
      </c>
      <c r="L24" s="12">
        <v>2050</v>
      </c>
    </row>
    <row r="25" spans="2:13" x14ac:dyDescent="0.3">
      <c r="B25" t="s">
        <v>34</v>
      </c>
      <c r="C25" t="s">
        <v>13</v>
      </c>
      <c r="D25" t="s">
        <v>30</v>
      </c>
      <c r="E25" s="8">
        <v>212.996312980043</v>
      </c>
      <c r="F25" s="8">
        <v>215.126933673108</v>
      </c>
      <c r="G25" s="8">
        <v>219.45021741073</v>
      </c>
      <c r="H25" s="8">
        <v>208.99178617328499</v>
      </c>
      <c r="I25" s="8">
        <v>215.36232794977801</v>
      </c>
      <c r="J25" s="8">
        <v>299.56219780110598</v>
      </c>
      <c r="K25" s="8">
        <v>438.66276574882198</v>
      </c>
      <c r="L25" s="8">
        <v>614.47419912945702</v>
      </c>
      <c r="M25" s="8"/>
    </row>
    <row r="26" spans="2:13" x14ac:dyDescent="0.3">
      <c r="B26" t="s">
        <v>34</v>
      </c>
      <c r="C26" t="s">
        <v>13</v>
      </c>
      <c r="D26" t="s">
        <v>31</v>
      </c>
      <c r="E26" s="8">
        <v>415.09356099436798</v>
      </c>
      <c r="F26" s="8">
        <v>624.84542887571195</v>
      </c>
      <c r="G26" s="8"/>
      <c r="H26" s="8"/>
      <c r="I26" s="8"/>
      <c r="J26" s="8"/>
      <c r="K26" s="8"/>
      <c r="L26" s="8"/>
      <c r="M26" s="8"/>
    </row>
    <row r="27" spans="2:13" x14ac:dyDescent="0.3">
      <c r="B27" t="s">
        <v>34</v>
      </c>
      <c r="C27" t="s">
        <v>13</v>
      </c>
      <c r="D27" t="s">
        <v>25</v>
      </c>
      <c r="E27" s="8">
        <v>4376.8518750000003</v>
      </c>
      <c r="F27" s="8">
        <v>4267.4305781249996</v>
      </c>
      <c r="G27" s="8">
        <v>8137.7181190741803</v>
      </c>
      <c r="H27" s="8">
        <v>11693.390132928</v>
      </c>
      <c r="I27" s="8">
        <v>14602.186331349199</v>
      </c>
      <c r="J27" s="8">
        <v>19125.548650918201</v>
      </c>
      <c r="K27" s="8">
        <v>20895.687152768402</v>
      </c>
      <c r="L27" s="8">
        <v>22832.5364037578</v>
      </c>
      <c r="M27" s="8"/>
    </row>
    <row r="28" spans="2:13" x14ac:dyDescent="0.3">
      <c r="B28" t="s">
        <v>34</v>
      </c>
      <c r="C28" t="s">
        <v>13</v>
      </c>
      <c r="D28" t="s">
        <v>32</v>
      </c>
      <c r="E28" s="8">
        <v>2655.2364891120001</v>
      </c>
      <c r="F28" s="8">
        <v>2604.7174731884402</v>
      </c>
      <c r="G28" s="8">
        <v>2452.8531742294499</v>
      </c>
      <c r="H28" s="8">
        <v>2428.2953689283499</v>
      </c>
      <c r="I28" s="8">
        <v>2558.4322615832202</v>
      </c>
      <c r="J28" s="8">
        <v>2241.06789690606</v>
      </c>
      <c r="K28" s="8">
        <v>2278.1724800616398</v>
      </c>
      <c r="L28" s="8">
        <v>2351.4438346757902</v>
      </c>
      <c r="M28" s="8"/>
    </row>
    <row r="29" spans="2:13" x14ac:dyDescent="0.3">
      <c r="B29" t="s">
        <v>34</v>
      </c>
      <c r="C29" t="s">
        <v>13</v>
      </c>
      <c r="D29" t="s">
        <v>27</v>
      </c>
      <c r="E29" s="8">
        <v>677.38136214383997</v>
      </c>
      <c r="F29" s="8"/>
      <c r="G29" s="8"/>
      <c r="H29" s="8"/>
      <c r="I29" s="8"/>
      <c r="J29" s="8"/>
      <c r="K29" s="8"/>
      <c r="L29" s="8"/>
      <c r="M29" s="8"/>
    </row>
    <row r="30" spans="2:13" x14ac:dyDescent="0.3">
      <c r="B30" t="s">
        <v>34</v>
      </c>
      <c r="C30" t="s">
        <v>13</v>
      </c>
      <c r="D30" t="s">
        <v>26</v>
      </c>
      <c r="E30" s="8">
        <v>3629.4944045064599</v>
      </c>
      <c r="F30" s="8">
        <v>5286.0414232104004</v>
      </c>
      <c r="G30" s="8">
        <v>5592.5571705351804</v>
      </c>
      <c r="H30" s="8">
        <v>4855.1326647040896</v>
      </c>
      <c r="I30" s="8">
        <v>4913.7843375759503</v>
      </c>
      <c r="J30" s="8">
        <v>4958.9207832316597</v>
      </c>
      <c r="K30" s="8">
        <v>4717.3792537071504</v>
      </c>
      <c r="L30" s="8">
        <v>5341.4174679000098</v>
      </c>
      <c r="M30" s="8"/>
    </row>
    <row r="32" spans="2:13" x14ac:dyDescent="0.3">
      <c r="C32" t="s">
        <v>13</v>
      </c>
      <c r="D32" t="s">
        <v>29</v>
      </c>
      <c r="E32">
        <f>E35</f>
        <v>20633.5210142701</v>
      </c>
      <c r="F32">
        <v>21114.615350753382</v>
      </c>
      <c r="G32">
        <v>31095.369296976274</v>
      </c>
      <c r="H32" s="8">
        <v>38698.038611603704</v>
      </c>
      <c r="I32" s="8">
        <v>44113.763969000276</v>
      </c>
      <c r="J32" s="8"/>
      <c r="K32" s="8"/>
      <c r="L32" s="8"/>
      <c r="M32" s="8"/>
    </row>
    <row r="33" spans="4:19" x14ac:dyDescent="0.3">
      <c r="E33" s="12">
        <v>2021</v>
      </c>
      <c r="F33" s="12">
        <v>2022</v>
      </c>
      <c r="G33" s="12">
        <v>2023</v>
      </c>
      <c r="H33" s="12">
        <v>2024</v>
      </c>
      <c r="I33" s="12">
        <v>2025</v>
      </c>
      <c r="J33" s="12">
        <v>2026</v>
      </c>
      <c r="K33" s="12">
        <v>2027</v>
      </c>
      <c r="L33" s="12">
        <v>2028</v>
      </c>
      <c r="M33" s="12">
        <v>2029</v>
      </c>
      <c r="N33" s="12">
        <v>2030</v>
      </c>
      <c r="O33" s="12">
        <v>2031</v>
      </c>
      <c r="P33" s="12">
        <v>2032</v>
      </c>
      <c r="Q33" s="12">
        <v>2033</v>
      </c>
      <c r="R33" s="12">
        <v>2034</v>
      </c>
      <c r="S33" s="12">
        <v>2035</v>
      </c>
    </row>
    <row r="34" spans="4:19" x14ac:dyDescent="0.3">
      <c r="E34">
        <v>20.633521014270102</v>
      </c>
      <c r="F34">
        <v>21.114615350753382</v>
      </c>
      <c r="G34">
        <v>24.414325634451835</v>
      </c>
      <c r="H34">
        <v>27.694482330682838</v>
      </c>
      <c r="I34">
        <v>31.095369296976273</v>
      </c>
      <c r="J34">
        <v>33.707834998937905</v>
      </c>
      <c r="K34">
        <v>35.141694416788745</v>
      </c>
      <c r="L34">
        <v>36.551641838504516</v>
      </c>
      <c r="M34">
        <v>37.555652402714784</v>
      </c>
      <c r="N34">
        <v>38.698038611603707</v>
      </c>
      <c r="O34">
        <v>39.680142022513493</v>
      </c>
      <c r="P34">
        <v>40.802682242746911</v>
      </c>
      <c r="Q34">
        <v>41.772521326223256</v>
      </c>
      <c r="R34">
        <v>42.620230886991436</v>
      </c>
      <c r="S34">
        <v>44.113763969000274</v>
      </c>
    </row>
    <row r="35" spans="4:19" x14ac:dyDescent="0.3">
      <c r="D35">
        <f>10^3</f>
        <v>1000</v>
      </c>
      <c r="E35">
        <f>E34*$D35</f>
        <v>20633.5210142701</v>
      </c>
      <c r="F35">
        <f t="shared" ref="F35:S35" si="0">F34*$D35</f>
        <v>21114.615350753382</v>
      </c>
      <c r="G35">
        <f t="shared" si="0"/>
        <v>24414.325634451834</v>
      </c>
      <c r="H35">
        <f t="shared" si="0"/>
        <v>27694.482330682837</v>
      </c>
      <c r="I35">
        <f t="shared" si="0"/>
        <v>31095.369296976274</v>
      </c>
      <c r="J35">
        <f t="shared" si="0"/>
        <v>33707.834998937906</v>
      </c>
      <c r="K35">
        <f t="shared" si="0"/>
        <v>35141.694416788749</v>
      </c>
      <c r="L35">
        <f t="shared" si="0"/>
        <v>36551.641838504518</v>
      </c>
      <c r="M35">
        <f t="shared" si="0"/>
        <v>37555.652402714783</v>
      </c>
      <c r="N35">
        <f t="shared" si="0"/>
        <v>38698.038611603704</v>
      </c>
      <c r="O35">
        <f t="shared" si="0"/>
        <v>39680.142022513493</v>
      </c>
      <c r="P35">
        <f t="shared" si="0"/>
        <v>40802.682242746909</v>
      </c>
      <c r="Q35">
        <f t="shared" si="0"/>
        <v>41772.521326223257</v>
      </c>
      <c r="R35">
        <f t="shared" si="0"/>
        <v>42620.230886991434</v>
      </c>
      <c r="S35">
        <f t="shared" si="0"/>
        <v>44113.763969000276</v>
      </c>
    </row>
  </sheetData>
  <phoneticPr fontId="7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UC_CO2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dcterms:created xsi:type="dcterms:W3CDTF">2009-05-27T15:40:55Z</dcterms:created>
  <dcterms:modified xsi:type="dcterms:W3CDTF">2026-06-05T01:02:45Z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837803483009338</vt:lpwstr>
  </property>
</Properties>
</file>