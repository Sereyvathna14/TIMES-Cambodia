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Default Extension="vml" ContentType="application/vnd.openxmlformats-officedocument.vmlDrawing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9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bookViews>
    <workbookView xWindow="19090" yWindow="-110" windowWidth="19420" windowHeight="10420" activeTab="1"/>
  </bookViews>
  <sheets>
    <sheet name="BY_Data" sheetId="6" r:id="rId3"/>
    <sheet name="CAR_Dem" sheetId="2" r:id="rId4"/>
  </sheets>
  <definedNames/>
  <calcPr calcId="191029"/>
</workbook>
</file>

<file path=xl/calcChain.xml><?xml version="1.0" encoding="utf-8"?>
<calcChain xmlns="http://schemas.openxmlformats.org/spreadsheetml/2006/main">
  <c r="F4" i="2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<sst xmlns="http://schemas.openxmlformats.org/spreadsheetml/2006/main" count="37" uniqueCount="17">
  <si>
    <t>Year</t>
  </si>
  <si>
    <t>Cset_CN</t>
  </si>
  <si>
    <t>Attribute</t>
  </si>
  <si>
    <t>LimType</t>
  </si>
  <si>
    <t>~TFM_INS</t>
  </si>
  <si>
    <t>TimeSlice</t>
  </si>
  <si>
    <t>Trans - Insert</t>
  </si>
  <si>
    <t>REG1</t>
  </si>
  <si>
    <t>Demand</t>
  </si>
  <si>
    <t>DTCAR</t>
  </si>
  <si>
    <t>Demand Driver (annual growth)</t>
  </si>
  <si>
    <t>~TFM_FILL</t>
  </si>
  <si>
    <t>Operation_Sum_Avg_Count</t>
  </si>
  <si>
    <t>Scenario Name</t>
  </si>
  <si>
    <t>A</t>
  </si>
  <si>
    <t>Reg1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</si>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</sst>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60029125214"/>
        <bgColor indexed="64"/>
      </patternFill>
    </fill>
    <fill>
      <patternFill patternType="solid">
        <fgColor theme="5" tint="0.7999500036239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</borders>
  <cellStyleXfs count="3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164" fontId="0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6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</cellStyleXfs>
  <cellXfs count="14">
    <xf numFmtId="0" fontId="0" fillId="0" borderId="0" xfId="0"/>
    <xf numFmtId="0" fontId="9" fillId="3" borderId="0" xfId="20" applyFont="1" applyFill="1" applyBorder="1" applyAlignment="1">
      <alignment horizontal="center" wrapText="1"/>
    </xf>
    <xf numFmtId="0" fontId="4" fillId="0" borderId="0" xfId="0" applyFont="1"/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3" fillId="4" borderId="1" xfId="0" applyFont="1" applyFill="1" applyBorder="1"/>
    <xf numFmtId="0" fontId="3" fillId="0" borderId="0" xfId="24">
      <alignment/>
      <protection/>
    </xf>
    <xf numFmtId="0" fontId="7" fillId="6" borderId="1" xfId="24" applyFont="1" applyFill="1" applyBorder="1">
      <alignment/>
      <protection/>
    </xf>
    <xf numFmtId="0" fontId="3" fillId="4" borderId="0" xfId="0" applyFont="1" applyFill="1"/>
    <xf numFmtId="9" fontId="0" fillId="0" borderId="0" xfId="0" applyNumberFormat="1"/>
    <xf numFmtId="0" fontId="8" fillId="0" borderId="0" xfId="0" applyFont="1"/>
    <xf numFmtId="2" fontId="8" fillId="7" borderId="0" xfId="0" applyNumberFormat="1" applyFont="1" applyFill="1"/>
    <xf numFmtId="1" fontId="0" fillId="0" borderId="0" xfId="0" applyNumberFormat="1"/>
  </cellXfs>
  <cellStyles count="2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40% - Accent3" xfId="20" builtinId="39"/>
    <cellStyle name="Comma 2" xfId="21"/>
    <cellStyle name="Normal 10" xfId="22"/>
    <cellStyle name="Normal 2" xfId="23"/>
    <cellStyle name="Normal 3" xfId="24"/>
    <cellStyle name="Normal 4" xfId="25"/>
    <cellStyle name="Normal 4 2" xfId="26"/>
    <cellStyle name="Normal 8" xfId="27"/>
    <cellStyle name="Normal 9 2" xfId="28"/>
    <cellStyle name="Normale_B2020" xfId="29"/>
    <cellStyle name="Percent 2" xfId="30"/>
    <cellStyle name="Percent 3" xfId="31"/>
    <cellStyle name="Percent 3 2" xfId="32"/>
    <cellStyle name="Percent 4" xfId="33"/>
    <cellStyle name="Percent 4 2" xfId="34"/>
    <cellStyle name="Percent 5" xfId="35"/>
    <cellStyle name="Percent 6" xfId="36"/>
    <cellStyle name="Standard_Sce_D_Extraction" xfId="3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19050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590892cd-39fe-4f52-ad6a-b78a6049ae07}"/>
            </a:ext>
          </a:extLst>
        </xdr:cNvPr>
        <xdr:cNvSpPr txBox="1"/>
      </xdr:nvSpPr>
      <xdr:spPr>
        <a:xfrm>
          <a:off x="609600" y="1638300"/>
          <a:ext cx="4876800" cy="5619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</xdr:row>
      <xdr:rowOff>190499</xdr:rowOff>
    </xdr:from>
    <xdr:to>
      <xdr:col>6</xdr:col>
      <xdr:colOff>0</xdr:colOff>
      <xdr:row>15</xdr:row>
      <xdr:rowOff>28574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e90d4d9a-2272-4052-bc9f-7221ae552a28}"/>
            </a:ext>
          </a:extLst>
        </xdr:cNvPr>
        <xdr:cNvSpPr txBox="1"/>
      </xdr:nvSpPr>
      <xdr:spPr>
        <a:xfrm>
          <a:off x="609600" y="2181225"/>
          <a:ext cx="2905125" cy="57150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workbookViewId="0" topLeftCell="A1">
      <selection pane="topLeft" activeCell="I10" sqref="I10"/>
    </sheetView>
  </sheetViews>
  <sheetFormatPr defaultRowHeight="14.4"/>
  <cols>
    <col min="2" max="2" width="26.4285714285714" bestFit="1" customWidth="1"/>
    <col min="4" max="4" width="10.1428571428571" bestFit="1" customWidth="1"/>
  </cols>
  <sheetData>
    <row r="2" spans="2:8" ht="14.4">
      <c r="B2" s="2" t="s">
        <v>11</v>
      </c>
      <c r="C2" s="7"/>
      <c r="D2" s="7"/>
      <c r="E2" s="7"/>
      <c r="F2" s="7"/>
      <c r="G2" s="7"/>
      <c r="H2" s="7"/>
    </row>
    <row r="3" spans="2:9" ht="15" thickBot="1">
      <c r="B3" s="8" t="s">
        <v>12</v>
      </c>
      <c r="C3" s="8" t="s">
        <v>13</v>
      </c>
      <c r="D3" s="4" t="s">
        <v>5</v>
      </c>
      <c r="E3" s="4" t="s">
        <v>3</v>
      </c>
      <c r="F3" s="4" t="s">
        <v>2</v>
      </c>
      <c r="G3" s="4" t="s">
        <v>0</v>
      </c>
      <c r="H3" s="5" t="s">
        <v>7</v>
      </c>
      <c r="I3" s="6" t="s">
        <v>1</v>
      </c>
    </row>
    <row r="4" spans="2:9" ht="14.4">
      <c r="B4" t="s">
        <v>14</v>
      </c>
      <c r="C4" s="11" t="s">
        <v>16</v>
      </c>
      <c r="F4" t="s">
        <v>8</v>
      </c>
      <c r="G4">
        <v>2021</v>
      </c>
      <c r="H4" s="12">
        <v>11.932451049158599</v>
      </c>
      <c r="I4" t="s">
        <v>9</v>
      </c>
    </row>
  </sheetData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 topLeftCell="A1">
      <selection pane="topLeft" activeCell="K10" sqref="K10"/>
    </sheetView>
  </sheetViews>
  <sheetFormatPr defaultRowHeight="14.4"/>
  <cols>
    <col min="2" max="2" width="10.1428571428571" bestFit="1" customWidth="1"/>
    <col min="3" max="3" width="8.85714285714286" bestFit="1" customWidth="1"/>
    <col min="4" max="4" width="8.71428571428571" bestFit="1" customWidth="1"/>
    <col min="5" max="5" width="5.14285714285714" bestFit="1" customWidth="1"/>
    <col min="6" max="6" width="10.7142857142857" customWidth="1"/>
    <col min="7" max="7" width="8.42857142857143" bestFit="1" customWidth="1"/>
    <col min="10" max="10" width="14.8571428571429" customWidth="1"/>
  </cols>
  <sheetData>
    <row r="1" spans="1:1" ht="14.4">
      <c r="A1" t="s">
        <v>6</v>
      </c>
    </row>
    <row r="2" spans="2:11" ht="14.4">
      <c r="B2" s="2" t="s">
        <v>4</v>
      </c>
      <c r="G2" s="3"/>
      <c r="J2" s="1" t="s">
        <v>10</v>
      </c>
      <c r="K2" s="1"/>
    </row>
    <row r="3" spans="2:11" ht="15" thickBot="1">
      <c r="B3" s="4" t="s">
        <v>5</v>
      </c>
      <c r="C3" s="4" t="s">
        <v>3</v>
      </c>
      <c r="D3" s="4" t="s">
        <v>2</v>
      </c>
      <c r="E3" s="4" t="s">
        <v>0</v>
      </c>
      <c r="F3" s="5" t="s">
        <v>7</v>
      </c>
      <c r="G3" s="6" t="s">
        <v>1</v>
      </c>
      <c r="J3" s="9" t="s">
        <v>15</v>
      </c>
      <c r="K3" s="9"/>
    </row>
    <row r="4" spans="4:11" ht="14.4">
      <c r="D4" t="s">
        <v>8</v>
      </c>
      <c r="E4">
        <v>2022</v>
      </c>
      <c r="F4" s="13">
        <f>BY_Data!$H$4*(1+$J$4)^(E4-2005)</f>
        <v>16.708312191517976</v>
      </c>
      <c r="G4" s="7" t="s">
        <v>9</v>
      </c>
      <c r="J4" s="10">
        <v>0.02</v>
      </c>
      <c r="K4" s="10"/>
    </row>
    <row r="5" spans="4:11" ht="14.4">
      <c r="D5" t="s">
        <v>8</v>
      </c>
      <c r="E5">
        <v>2025</v>
      </c>
      <c r="F5" s="13">
        <f>BY_Data!$H$4*(1+$J$4)^(E5-2005)</f>
        <v>17.73099456413641</v>
      </c>
      <c r="G5" s="7" t="s">
        <v>9</v>
      </c>
      <c r="J5" s="10"/>
      <c r="K5" s="10"/>
    </row>
    <row r="6" spans="4:11" ht="14.4">
      <c r="D6" t="s">
        <v>8</v>
      </c>
      <c r="E6">
        <v>2030</v>
      </c>
      <c r="F6" s="13">
        <f>BY_Data!$H$4*(1+$J$4)^(E6-2005)</f>
        <v>19.576450719906564</v>
      </c>
      <c r="G6" s="7" t="s">
        <v>9</v>
      </c>
      <c r="J6" s="10"/>
      <c r="K6" s="10"/>
    </row>
    <row r="7" spans="4:11" ht="14.4">
      <c r="D7" t="s">
        <v>8</v>
      </c>
      <c r="E7">
        <v>2035</v>
      </c>
      <c r="F7" s="13">
        <f>BY_Data!$H$4*(1+$J$4)^(E7-2005)</f>
        <v>21.613983434639657</v>
      </c>
      <c r="G7" s="7" t="s">
        <v>9</v>
      </c>
      <c r="J7" s="10"/>
      <c r="K7" s="10"/>
    </row>
    <row r="8" spans="4:7" ht="14.4">
      <c r="D8" t="s">
        <v>8</v>
      </c>
      <c r="E8">
        <v>2040</v>
      </c>
      <c r="F8" s="13">
        <f>BY_Data!$H$4*(1+$J$4)^(E8-2005)</f>
        <v>23.863584190868451</v>
      </c>
      <c r="G8" s="7" t="s">
        <v>9</v>
      </c>
    </row>
    <row r="9" spans="4:7" ht="14.4">
      <c r="D9" t="s">
        <v>8</v>
      </c>
      <c r="E9">
        <v>2045</v>
      </c>
      <c r="F9" s="13">
        <f>BY_Data!$H$4*(1+$J$4)^(E9-2005)</f>
        <v>26.34732520068486</v>
      </c>
      <c r="G9" s="7" t="s">
        <v>9</v>
      </c>
    </row>
    <row r="10" spans="4:7" ht="14.4">
      <c r="D10" t="s">
        <v>8</v>
      </c>
      <c r="E10">
        <v>2050</v>
      </c>
      <c r="F10" s="13">
        <f>BY_Data!$H$4*(1+$J$4)^(E10-2005)</f>
        <v>29.089575969743748</v>
      </c>
      <c r="G10" s="7" t="s">
        <v>9</v>
      </c>
    </row>
  </sheetData>
  <mergeCells count="1">
    <mergeCell ref="J2:K2"/>
  </mergeCell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SAN SEREYVATHNA/MME_CAMBODIA</cp:lastModifiedBy>
  <dcterms:created xsi:type="dcterms:W3CDTF">2009-05-27T15:40:55Z</dcterms:created>
  <dcterms:modified xsi:type="dcterms:W3CDTF">2026-06-01T01:13:31Z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</Properties>
</file>